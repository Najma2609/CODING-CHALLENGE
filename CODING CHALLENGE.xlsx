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83f46c01192fc2/Desktop/SESSION PRACTICE/"/>
    </mc:Choice>
  </mc:AlternateContent>
  <xr:revisionPtr revIDLastSave="74" documentId="8_{A57C51AB-CB00-4770-947C-B2D67DFEDE86}" xr6:coauthVersionLast="47" xr6:coauthVersionMax="47" xr10:uidLastSave="{3C7036FA-2CF7-4D1B-9745-D0E601D68A16}"/>
  <bookViews>
    <workbookView xWindow="-120" yWindow="-120" windowWidth="29040" windowHeight="15720" xr2:uid="{5A9D28D0-954B-4CCA-91A8-7C4989C87B2D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 a="1"/>
  <c r="I7" i="1" a="1"/>
  <c r="D5" i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<sst xmlns="http://schemas.openxmlformats.org/spreadsheetml/2006/main" count="30" uniqueCount="22">
  <si>
    <t xml:space="preserve">Date </t>
  </si>
  <si>
    <t xml:space="preserve">Laptop </t>
  </si>
  <si>
    <t xml:space="preserve">Mobile </t>
  </si>
  <si>
    <t xml:space="preserve">Headphones  </t>
  </si>
  <si>
    <t xml:space="preserve">Keyboard </t>
  </si>
  <si>
    <t xml:space="preserve">Mouse </t>
  </si>
  <si>
    <t xml:space="preserve">Charger  </t>
  </si>
  <si>
    <t xml:space="preserve">Tablet </t>
  </si>
  <si>
    <t xml:space="preserve">Region </t>
  </si>
  <si>
    <t xml:space="preserve">South </t>
  </si>
  <si>
    <t xml:space="preserve">North </t>
  </si>
  <si>
    <t xml:space="preserve">East </t>
  </si>
  <si>
    <t xml:space="preserve">West </t>
  </si>
  <si>
    <t>South</t>
  </si>
  <si>
    <t>A)WILL USE MEDIAN BECAUSE OF OUTLIERS</t>
  </si>
  <si>
    <t>Product</t>
  </si>
  <si>
    <t>Sales_Amount</t>
  </si>
  <si>
    <t>Sales_Amount  Solved</t>
  </si>
  <si>
    <t>B)</t>
  </si>
  <si>
    <t>C)</t>
  </si>
  <si>
    <t>USED FORMULA =MEDIAN(IF(CONDITION,TEXT VALUE))</t>
  </si>
  <si>
    <t>USED TRIMMEAN FORMULA=TRIMMEAN(FILTER(ARRAY,INCLUDE WHICH VALUE),PERCENTAGE)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</si>
</sst>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00DB8-9631-4031-BD68-93B6E962D6B1}" name="Table1" displayName="Table1" ref="A2:E12" totalsRowShown="0">
  <autoFilter ref="A2:E12" xr:uid="{EA900DB8-9631-4031-BD68-93B6E962D6B1}"/>
  <tableColumns count="5">
    <tableColumn id="1" xr3:uid="{6F083FE4-0A81-4C7E-B8B5-1A07023626D2}" name="Date " dataDxfId="0"/>
    <tableColumn id="2" xr3:uid="{82C6D876-0678-4ADD-B01D-1E95E8420172}" name="Product"/>
    <tableColumn id="5" xr3:uid="{8479495E-A71F-49D4-9DDD-DF72AA58D730}" name="Sales_Amount"/>
    <tableColumn id="3" xr3:uid="{9A7071FD-7617-4374-BCF2-54E943DDB29C}" name="Sales_Amount  Solved"/>
    <tableColumn id="4" xr3:uid="{922C7B3E-4E87-40F4-A1D4-44ADADEB64E8}" name="Reg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37E4-F9F2-4F6C-9C95-8DF24EE829F4}">
  <dimension ref="A2:U12"/>
  <sheetViews>
    <sheetView tabSelected="1" workbookViewId="0">
      <selection activeCell="G23" sqref="G23"/>
    </sheetView>
  </sheetViews>
  <sheetFormatPr defaultRowHeight="15" x14ac:dyDescent="0.25"/>
  <cols>
    <col min="1" max="1" width="14.140625" customWidth="1"/>
    <col min="2" max="2" width="13.140625" customWidth="1"/>
    <col min="3" max="3" width="19" customWidth="1"/>
    <col min="4" max="4" width="23.5703125" customWidth="1"/>
    <col min="5" max="5" width="9.7109375" customWidth="1"/>
  </cols>
  <sheetData>
    <row r="2" spans="1:21" x14ac:dyDescent="0.25">
      <c r="A2" t="s">
        <v>0</v>
      </c>
      <c r="B2" t="s">
        <v>15</v>
      </c>
      <c r="C2" t="s">
        <v>16</v>
      </c>
      <c r="D2" t="s">
        <v>17</v>
      </c>
      <c r="E2" t="s">
        <v>8</v>
      </c>
    </row>
    <row r="3" spans="1:21" x14ac:dyDescent="0.25">
      <c r="A3" s="1">
        <v>46023</v>
      </c>
      <c r="B3" t="s">
        <v>1</v>
      </c>
      <c r="C3">
        <v>25000</v>
      </c>
      <c r="D3">
        <v>25000</v>
      </c>
      <c r="E3" t="s">
        <v>9</v>
      </c>
    </row>
    <row r="4" spans="1:21" x14ac:dyDescent="0.25">
      <c r="A4" s="1">
        <v>46024</v>
      </c>
      <c r="B4" t="s">
        <v>2</v>
      </c>
      <c r="C4">
        <v>18000</v>
      </c>
      <c r="D4">
        <v>18000</v>
      </c>
      <c r="E4" t="s">
        <v>9</v>
      </c>
    </row>
    <row r="5" spans="1:21" x14ac:dyDescent="0.25">
      <c r="A5" s="1">
        <v>46025</v>
      </c>
      <c r="B5" t="s">
        <v>3</v>
      </c>
      <c r="D5">
        <f>MEDIAN(D3,D4,D6,D7,D8,D9,D10,D12)</f>
        <v>21500</v>
      </c>
      <c r="E5" t="s">
        <v>9</v>
      </c>
      <c r="G5" s="2" t="s">
        <v>14</v>
      </c>
      <c r="H5" s="2"/>
      <c r="I5" s="2"/>
      <c r="J5" s="2"/>
      <c r="K5" s="2"/>
      <c r="L5" s="2"/>
      <c r="M5" s="2"/>
    </row>
    <row r="6" spans="1:21" x14ac:dyDescent="0.25">
      <c r="A6" s="1">
        <v>46026</v>
      </c>
      <c r="B6" t="s">
        <v>1</v>
      </c>
      <c r="C6">
        <v>300000</v>
      </c>
      <c r="D6">
        <v>300000</v>
      </c>
      <c r="E6" t="s">
        <v>9</v>
      </c>
      <c r="H6" s="2"/>
      <c r="I6" s="2"/>
      <c r="J6" s="2"/>
      <c r="K6" s="2"/>
      <c r="L6" s="2"/>
      <c r="M6" s="2"/>
    </row>
    <row r="7" spans="1:21" x14ac:dyDescent="0.25">
      <c r="A7" s="1">
        <v>46027</v>
      </c>
      <c r="B7" t="s">
        <v>4</v>
      </c>
      <c r="C7">
        <v>4500</v>
      </c>
      <c r="D7">
        <v>4500</v>
      </c>
      <c r="E7" t="s">
        <v>10</v>
      </c>
      <c r="H7" s="4" t="s">
        <v>18</v>
      </c>
      <c r="I7" s="3" cm="1">
        <f t="array" ref="I7">MEDIAN(IF(Table1[[Region ]]="South",Table1[Sales_Amount]))</f>
        <v>24000</v>
      </c>
      <c r="J7" s="2" t="s">
        <v>20</v>
      </c>
      <c r="K7" s="2"/>
      <c r="L7" s="2"/>
      <c r="M7" s="2"/>
      <c r="N7" s="2"/>
      <c r="O7" s="2"/>
      <c r="P7" s="2"/>
    </row>
    <row r="8" spans="1:21" x14ac:dyDescent="0.25">
      <c r="A8" s="1">
        <v>46028</v>
      </c>
      <c r="B8" t="s">
        <v>5</v>
      </c>
      <c r="C8">
        <v>5200</v>
      </c>
      <c r="D8">
        <v>5200</v>
      </c>
      <c r="E8" t="s">
        <v>9</v>
      </c>
      <c r="H8" s="4" t="s">
        <v>19</v>
      </c>
      <c r="I8" cm="1">
        <f t="array" ref="I8">TRIMMEAN(_xlfn._xlws.FILTER(Table1[Sales_Amount],Table1[[Region ]]="SOUTH"),0.1)</f>
        <v>24000</v>
      </c>
      <c r="J8" s="2" t="s">
        <v>21</v>
      </c>
      <c r="K8" s="2"/>
      <c r="L8" s="2"/>
      <c r="M8" s="2"/>
      <c r="N8" s="2"/>
      <c r="O8" s="2"/>
      <c r="P8" s="2"/>
      <c r="Q8" s="2"/>
      <c r="R8" s="2"/>
      <c r="S8" s="3"/>
      <c r="T8" s="3"/>
      <c r="U8" s="3"/>
    </row>
    <row r="9" spans="1:21" x14ac:dyDescent="0.25">
      <c r="A9" s="1">
        <v>46029</v>
      </c>
      <c r="B9" t="s">
        <v>2</v>
      </c>
      <c r="C9">
        <v>19000</v>
      </c>
      <c r="D9">
        <v>19000</v>
      </c>
      <c r="E9" t="s">
        <v>11</v>
      </c>
    </row>
    <row r="10" spans="1:21" x14ac:dyDescent="0.25">
      <c r="A10" s="1">
        <v>46030</v>
      </c>
      <c r="B10" t="s">
        <v>1</v>
      </c>
      <c r="C10">
        <v>26000</v>
      </c>
      <c r="D10">
        <v>26000</v>
      </c>
      <c r="E10" t="s">
        <v>9</v>
      </c>
    </row>
    <row r="11" spans="1:21" x14ac:dyDescent="0.25">
      <c r="A11" s="1">
        <v>46031</v>
      </c>
      <c r="B11" t="s">
        <v>6</v>
      </c>
      <c r="D11">
        <f>MEDIAN(D3:D10,D12)</f>
        <v>21500</v>
      </c>
      <c r="E11" t="s">
        <v>12</v>
      </c>
    </row>
    <row r="12" spans="1:21" x14ac:dyDescent="0.25">
      <c r="A12" s="1">
        <v>46032</v>
      </c>
      <c r="B12" t="s">
        <v>7</v>
      </c>
      <c r="C12">
        <v>24000</v>
      </c>
      <c r="D12">
        <v>24000</v>
      </c>
      <c r="E12" t="s">
        <v>13</v>
      </c>
    </row>
  </sheetData>
  <mergeCells count="4">
    <mergeCell ref="J8:R8"/>
    <mergeCell ref="G5:M5"/>
    <mergeCell ref="H6:M6"/>
    <mergeCell ref="J7:P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Najma Ashraf Ali</dc:creator>
  <cp:lastModifiedBy>Najma Ashraf Ali</cp:lastModifiedBy>
  <dcterms:created xsi:type="dcterms:W3CDTF">2026-10-13T00:35:55Z</dcterms:created>
  <dcterms:modified xsi:type="dcterms:W3CDTF">2026-10-13T01:19:03Z</dcterms:modified>
</cp:coreProperties>
</file>